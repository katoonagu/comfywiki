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Smysh\Desktop\Новая папка (6)\Новая папка\"/>
    </mc:Choice>
  </mc:AlternateContent>
  <xr:revisionPtr revIDLastSave="0" documentId="8_{A0072F52-0756-4E04-B2D1-4FB02AD6757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Vast стоимость скачивания" sheetId="1" r:id="rId1"/>
    <sheet name="Vast стоимость аренды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G8" i="1"/>
  <c r="H8" i="1"/>
  <c r="F7" i="1"/>
  <c r="G7" i="1"/>
  <c r="H7" i="1" s="1"/>
  <c r="F6" i="1"/>
  <c r="G6" i="1"/>
  <c r="H6" i="1" s="1"/>
  <c r="F5" i="1"/>
  <c r="G5" i="1"/>
  <c r="K4" i="2"/>
  <c r="G4" i="2"/>
  <c r="F4" i="2"/>
  <c r="G4" i="1"/>
  <c r="F4" i="1"/>
  <c r="H5" i="1" l="1"/>
  <c r="H4" i="1"/>
  <c r="H4" i="2"/>
  <c r="L4" i="2" s="1"/>
</calcChain>
</file>

<file path=xl/sharedStrings.xml><?xml version="1.0" encoding="utf-8"?>
<sst xmlns="http://schemas.openxmlformats.org/spreadsheetml/2006/main" count="44" uniqueCount="28">
  <si>
    <t>Download GB</t>
  </si>
  <si>
    <t>Upload GB</t>
  </si>
  <si>
    <t>$ per TB Download</t>
  </si>
  <si>
    <t>$ per TB Upload</t>
  </si>
  <si>
    <t>Download Cost ($)</t>
  </si>
  <si>
    <t>Upload Cost ($)</t>
  </si>
  <si>
    <t>Total Cost ($)</t>
  </si>
  <si>
    <t>GPU $/Hour</t>
  </si>
  <si>
    <t>Hours Used</t>
  </si>
  <si>
    <t>GPU Cost ($)</t>
  </si>
  <si>
    <t>Total w/ Traffic ($)</t>
  </si>
  <si>
    <t>Аренда</t>
  </si>
  <si>
    <t>Итоговая стоимость скачивания гигабайт</t>
  </si>
  <si>
    <t>Итоговая стоимость аренды</t>
  </si>
  <si>
    <t>Имя / ID устройства</t>
  </si>
  <si>
    <t>Объём скачанных</t>
  </si>
  <si>
    <t>Объём выгруженных</t>
  </si>
  <si>
    <t>За 1 TB входящего</t>
  </si>
  <si>
    <t>За 1 TB исходящего</t>
  </si>
  <si>
    <t>Стоимость входящего</t>
  </si>
  <si>
    <t>Стоимость исходящего</t>
  </si>
  <si>
    <t>Цена GPU за час</t>
  </si>
  <si>
    <t>Часы работы</t>
  </si>
  <si>
    <t>Стоимость аренды GPU</t>
  </si>
  <si>
    <t>Итоговая стоимость</t>
  </si>
  <si>
    <t>Сум стоимость трафика</t>
  </si>
  <si>
    <t>Формула: GB / 1024 × $/TB</t>
  </si>
  <si>
    <t>Стоимость = (Скачанные GB / 1024) × ($ per TB Download)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</si>
</sst>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C7CE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1" fillId="0" borderId="0" xfId="0" applyFont="1"/>
    <xf numFmtId="0" fontId="2" fillId="0" borderId="9" xfId="0" applyFont="1" applyBorder="1"/>
    <xf numFmtId="0" fontId="0" fillId="0" borderId="0" xfId="0" applyFill="1"/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0" fillId="5" borderId="0" xfId="0" applyFill="1"/>
    <xf numFmtId="0" fontId="6" fillId="5" borderId="0" xfId="0" applyFont="1" applyFill="1"/>
    <xf numFmtId="0" fontId="0" fillId="5" borderId="0" xfId="0" applyFill="1" applyAlignment="1"/>
    <xf numFmtId="0" fontId="6" fillId="6" borderId="0" xfId="0" applyFont="1" applyFill="1"/>
    <xf numFmtId="0" fontId="0" fillId="7" borderId="0" xfId="0" applyFill="1"/>
    <xf numFmtId="0" fontId="6" fillId="7" borderId="0" xfId="0" applyFont="1" applyFill="1"/>
    <xf numFmtId="0" fontId="2" fillId="0" borderId="1" xfId="0" applyFont="1" applyBorder="1" applyAlignment="1">
      <alignment horizontal="center"/>
    </xf>
    <xf numFmtId="164" fontId="0" fillId="0" borderId="0" xfId="0" applyNumberFormat="1"/>
    <xf numFmtId="165" fontId="0" fillId="5" borderId="0" xfId="0" applyNumberFormat="1" applyFill="1"/>
    <xf numFmtId="165" fontId="2" fillId="0" borderId="6" xfId="0" applyNumberFormat="1" applyFont="1" applyBorder="1"/>
    <xf numFmtId="165" fontId="2" fillId="0" borderId="7" xfId="0" applyNumberFormat="1" applyFont="1" applyBorder="1"/>
    <xf numFmtId="0" fontId="5" fillId="2" borderId="0" xfId="0" applyFont="1" applyFill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</cellXfs>
  <cellStyles count="1">
    <cellStyle name="Обычный" xfId="0" builtinId="0"/>
  </cellStyles>
  <dxfs count="16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79EB0-3A99-4221-99A5-03FA94E777EB}" name="Таблица1" displayName="Таблица1" ref="A3:H8" totalsRowShown="0" headerRowDxfId="15" dataDxfId="13" headerRowBorderDxfId="14" tableBorderDxfId="12" totalsRowBorderDxfId="11">
  <autoFilter ref="A3:H8" xr:uid="{51479EB0-3A99-4221-99A5-03FA94E777EB}"/>
  <tableColumns count="8">
    <tableColumn id="8" xr3:uid="{40F6E6D7-38FF-4917-8C98-FF7FD30A634B}" name="Аренда" dataDxfId="10"/>
    <tableColumn id="1" xr3:uid="{727C0C0B-09B3-48A6-9607-7E6404BB4D8E}" name="Download GB" dataDxfId="9"/>
    <tableColumn id="2" xr3:uid="{C46130AB-99AF-4DDF-978B-888257AB6104}" name="Upload GB" dataDxfId="8"/>
    <tableColumn id="3" xr3:uid="{AEAD3235-EC9A-456B-ACD2-20DEA8BB4AE0}" name="$ per TB Download" dataDxfId="7"/>
    <tableColumn id="4" xr3:uid="{0B6F3114-E2CE-40E9-9C44-54BBAE2FF03C}" name="$ per TB Upload" dataDxfId="6"/>
    <tableColumn id="5" xr3:uid="{1F9109BC-ED6D-4C9F-B37E-30A861D3E963}" name="Download Cost ($)" dataDxfId="5">
      <calculatedColumnFormula>(B4/1024)*D4</calculatedColumnFormula>
    </tableColumn>
    <tableColumn id="6" xr3:uid="{EF96B674-8D9E-42FD-A7D8-AD6C88AA26F2}" name="Upload Cost ($)" dataDxfId="4">
      <calculatedColumnFormula>(C4/1024)*E4</calculatedColumnFormula>
    </tableColumn>
    <tableColumn id="7" xr3:uid="{DF15DC5C-6ABF-4021-8A9E-78503000A7AB}" name="Total Cost ($)" dataDxfId="3">
      <calculatedColumnFormula>F4+G4</calculatedColumnFormula>
    </tableColumn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CC78F1-1E57-4C41-A7C4-AAA4F62F9BEE}" name="Таблица2" displayName="Таблица2" ref="A3:L8" totalsRowShown="0" headerRowDxfId="2">
  <autoFilter ref="A3:L8" xr:uid="{87CC78F1-1E57-4C41-A7C4-AAA4F62F9BEE}"/>
  <tableColumns count="12">
    <tableColumn id="1" xr3:uid="{11CD5C0D-893D-4418-BEA1-8EDD041BC291}" name="Аренда"/>
    <tableColumn id="2" xr3:uid="{6D21B4CD-40A0-4142-8DB2-2C71A797B4B6}" name="Download GB"/>
    <tableColumn id="3" xr3:uid="{506A5739-E56A-43D2-87EB-4FF4443D31EC}" name="Upload GB"/>
    <tableColumn id="4" xr3:uid="{D67BE30C-7ABD-4386-871A-A2D4E5145865}" name="$ per TB Download" dataDxfId="1"/>
    <tableColumn id="5" xr3:uid="{B1DD8EC1-407D-4D06-8F7A-472F64892ED4}" name="$ per TB Upload" dataDxfId="0"/>
    <tableColumn id="6" xr3:uid="{71E46FC6-E9C6-4F49-B2AE-B7E3061BD21A}" name="Download Cost ($)"/>
    <tableColumn id="7" xr3:uid="{7C5C3AE3-0184-4826-BD23-F46FB4FD7E21}" name="Upload Cost ($)"/>
    <tableColumn id="8" xr3:uid="{D792037D-F6A8-429C-BD4F-F786BAA51963}" name="Total Cost ($)"/>
    <tableColumn id="9" xr3:uid="{C92266CA-0FDF-4565-AF70-62A08119FDC7}" name="GPU $/Hour"/>
    <tableColumn id="10" xr3:uid="{8CE71B25-4B2F-47A3-93D3-4163E25B98A8}" name="Hours Used"/>
    <tableColumn id="11" xr3:uid="{B4E2321E-11A7-463B-85F4-B8E23E4FB942}" name="GPU Cost ($)"/>
    <tableColumn id="12" xr3:uid="{9F03C059-A8BE-453C-9B63-58ED09F3C012}" name="Total w/ Traffic ($)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H4" sqref="H4"/>
    </sheetView>
  </sheetViews>
  <sheetFormatPr defaultRowHeight="15" x14ac:dyDescent="0.25"/>
  <cols>
    <col min="1" max="1" width="21.28515625" customWidth="1"/>
    <col min="2" max="2" width="21.5703125" customWidth="1"/>
    <col min="3" max="3" width="23.85546875" customWidth="1"/>
    <col min="4" max="4" width="21.7109375" customWidth="1"/>
    <col min="5" max="5" width="22" customWidth="1"/>
    <col min="6" max="6" width="23.28515625" customWidth="1"/>
    <col min="7" max="7" width="24.7109375" customWidth="1"/>
    <col min="8" max="8" width="26.28515625" customWidth="1"/>
    <col min="9" max="9" width="17" customWidth="1"/>
    <col min="10" max="10" width="57.28515625" customWidth="1"/>
  </cols>
  <sheetData>
    <row r="1" spans="1:10" ht="18.75" x14ac:dyDescent="0.3">
      <c r="A1" s="25" t="s">
        <v>12</v>
      </c>
      <c r="B1" s="25"/>
      <c r="C1" s="25"/>
      <c r="D1" s="25"/>
      <c r="E1" s="25"/>
      <c r="F1" s="25"/>
      <c r="G1" s="25"/>
      <c r="H1" s="25"/>
    </row>
    <row r="2" spans="1:10" s="4" customFormat="1" ht="15.75" x14ac:dyDescent="0.25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25</v>
      </c>
      <c r="J2" s="9" t="s">
        <v>26</v>
      </c>
    </row>
    <row r="3" spans="1:10" s="4" customFormat="1" ht="15.75" x14ac:dyDescent="0.25">
      <c r="A3" s="10" t="s">
        <v>11</v>
      </c>
      <c r="B3" s="11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2" t="s">
        <v>6</v>
      </c>
      <c r="I3" s="13"/>
      <c r="J3" s="20" t="s">
        <v>27</v>
      </c>
    </row>
    <row r="4" spans="1:10" ht="15.75" x14ac:dyDescent="0.25">
      <c r="A4" s="6">
        <v>1</v>
      </c>
      <c r="B4" s="1">
        <v>105</v>
      </c>
      <c r="C4" s="2">
        <v>1</v>
      </c>
      <c r="D4" s="2">
        <v>0.2</v>
      </c>
      <c r="E4" s="2">
        <v>0.2</v>
      </c>
      <c r="F4" s="23">
        <f t="shared" ref="F4:G8" si="0">(B4/1024)*D4</f>
        <v>2.05078125E-2</v>
      </c>
      <c r="G4" s="2">
        <f t="shared" si="0"/>
        <v>1.9531250000000001E-4</v>
      </c>
      <c r="H4" s="24">
        <f>F4+G4</f>
        <v>2.0703124999999999E-2</v>
      </c>
      <c r="I4" s="7"/>
    </row>
    <row r="5" spans="1:10" ht="15.75" x14ac:dyDescent="0.25">
      <c r="A5" s="2">
        <v>2</v>
      </c>
      <c r="B5" s="1"/>
      <c r="C5" s="2"/>
      <c r="D5" s="2"/>
      <c r="E5" s="2"/>
      <c r="F5" s="2">
        <f t="shared" si="0"/>
        <v>0</v>
      </c>
      <c r="G5" s="2">
        <f t="shared" si="0"/>
        <v>0</v>
      </c>
      <c r="H5" s="3">
        <f>F5+G5</f>
        <v>0</v>
      </c>
      <c r="I5" s="7"/>
    </row>
    <row r="6" spans="1:10" ht="15.75" x14ac:dyDescent="0.25">
      <c r="A6" s="2">
        <v>3</v>
      </c>
      <c r="B6" s="1"/>
      <c r="C6" s="2"/>
      <c r="D6" s="2"/>
      <c r="E6" s="2"/>
      <c r="F6" s="2">
        <f t="shared" si="0"/>
        <v>0</v>
      </c>
      <c r="G6" s="2">
        <f t="shared" si="0"/>
        <v>0</v>
      </c>
      <c r="H6" s="3">
        <f>F6+G6</f>
        <v>0</v>
      </c>
      <c r="I6" s="7"/>
    </row>
    <row r="7" spans="1:10" ht="15.75" x14ac:dyDescent="0.25">
      <c r="A7" s="2">
        <v>4</v>
      </c>
      <c r="B7" s="1"/>
      <c r="C7" s="2"/>
      <c r="D7" s="2"/>
      <c r="E7" s="2"/>
      <c r="F7" s="2">
        <f t="shared" si="0"/>
        <v>0</v>
      </c>
      <c r="G7" s="2">
        <f t="shared" si="0"/>
        <v>0</v>
      </c>
      <c r="H7" s="3">
        <f>F7+G7</f>
        <v>0</v>
      </c>
      <c r="I7" s="7"/>
    </row>
    <row r="8" spans="1:10" ht="15.75" x14ac:dyDescent="0.25">
      <c r="A8" s="2">
        <v>5</v>
      </c>
      <c r="B8" s="1"/>
      <c r="C8" s="2"/>
      <c r="D8" s="2"/>
      <c r="E8" s="2"/>
      <c r="F8" s="2">
        <f t="shared" si="0"/>
        <v>0</v>
      </c>
      <c r="G8" s="2">
        <f t="shared" si="0"/>
        <v>0</v>
      </c>
      <c r="H8" s="3">
        <f>F8+G8</f>
        <v>0</v>
      </c>
      <c r="I8" s="7"/>
    </row>
  </sheetData>
  <mergeCells count="1">
    <mergeCell ref="A1:H1"/>
  </mergeCells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9F9B-9F4A-472E-A6BF-4C13E3E369B0}">
  <dimension ref="A1:L9"/>
  <sheetViews>
    <sheetView zoomScaleNormal="100" workbookViewId="0">
      <selection activeCell="B4" sqref="B4"/>
    </sheetView>
  </sheetViews>
  <sheetFormatPr defaultRowHeight="15" x14ac:dyDescent="0.25"/>
  <cols>
    <col min="1" max="1" width="12.7109375" customWidth="1"/>
    <col min="2" max="2" width="21" customWidth="1"/>
    <col min="3" max="3" width="22.7109375" customWidth="1"/>
    <col min="4" max="4" width="20.85546875" customWidth="1"/>
    <col min="5" max="5" width="22.42578125" customWidth="1"/>
    <col min="6" max="6" width="22.5703125" customWidth="1"/>
    <col min="7" max="7" width="24.85546875" customWidth="1"/>
    <col min="8" max="8" width="25.7109375" customWidth="1"/>
    <col min="9" max="9" width="18.140625" customWidth="1"/>
    <col min="10" max="10" width="14.85546875" customWidth="1"/>
    <col min="11" max="11" width="25.85546875" customWidth="1"/>
    <col min="12" max="12" width="21.140625" customWidth="1"/>
  </cols>
  <sheetData>
    <row r="1" spans="1:12" ht="18.75" x14ac:dyDescent="0.3">
      <c r="A1" s="26" t="s">
        <v>13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s="5" customFormat="1" ht="15.75" x14ac:dyDescent="0.25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25</v>
      </c>
      <c r="I2" s="8" t="s">
        <v>21</v>
      </c>
      <c r="J2" s="8" t="s">
        <v>22</v>
      </c>
      <c r="K2" s="8" t="s">
        <v>23</v>
      </c>
      <c r="L2" s="8" t="s">
        <v>24</v>
      </c>
    </row>
    <row r="3" spans="1:12" x14ac:dyDescent="0.25">
      <c r="A3" s="4" t="s">
        <v>11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</row>
    <row r="4" spans="1:12" x14ac:dyDescent="0.25">
      <c r="A4">
        <v>1</v>
      </c>
      <c r="B4" s="16">
        <v>100</v>
      </c>
      <c r="C4">
        <v>1</v>
      </c>
      <c r="D4" s="17">
        <v>0.13500000000000001</v>
      </c>
      <c r="E4" s="17">
        <v>0.13400000000000001</v>
      </c>
      <c r="F4" s="21">
        <f>(B4/1024)*D4</f>
        <v>1.318359375E-2</v>
      </c>
      <c r="G4" s="21">
        <f>(C4/1024)*E4</f>
        <v>1.3085937500000001E-4</v>
      </c>
      <c r="H4" s="21">
        <f>F4+G4</f>
        <v>1.3314453125E-2</v>
      </c>
      <c r="I4">
        <v>0.25</v>
      </c>
      <c r="J4">
        <v>3</v>
      </c>
      <c r="K4">
        <f>I4*J4</f>
        <v>0.75</v>
      </c>
      <c r="L4" s="22">
        <f>H4+K4</f>
        <v>0.76331445312500001</v>
      </c>
    </row>
    <row r="5" spans="1:12" x14ac:dyDescent="0.25">
      <c r="A5">
        <v>2</v>
      </c>
      <c r="B5" s="18"/>
      <c r="C5" s="18"/>
      <c r="D5" s="19"/>
      <c r="E5" s="19"/>
      <c r="L5" s="18"/>
    </row>
    <row r="6" spans="1:12" x14ac:dyDescent="0.25">
      <c r="A6">
        <v>3</v>
      </c>
      <c r="B6" s="14"/>
      <c r="D6" s="15"/>
      <c r="E6" s="15"/>
      <c r="L6" s="14"/>
    </row>
    <row r="7" spans="1:12" x14ac:dyDescent="0.25">
      <c r="A7">
        <v>4</v>
      </c>
      <c r="B7" s="18"/>
      <c r="D7" s="19"/>
      <c r="E7" s="19"/>
      <c r="L7" s="18"/>
    </row>
    <row r="8" spans="1:12" x14ac:dyDescent="0.25">
      <c r="A8" s="14">
        <v>5</v>
      </c>
      <c r="B8" s="14"/>
      <c r="D8" s="15"/>
      <c r="E8" s="15"/>
      <c r="L8" s="14"/>
    </row>
    <row r="9" spans="1:12" x14ac:dyDescent="0.25">
      <c r="A9">
        <v>6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Vast стоимость скачивания</vt:lpstr>
      <vt:lpstr>Vast стоимость аренды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Smysh</cp:lastModifiedBy>
  <dcterms:created xsi:type="dcterms:W3CDTF">2026-01-25T12:56:50Z</dcterms:created>
  <dcterms:modified xsi:type="dcterms:W3CDTF">2026-01-29T16:36:32Z</dcterms:modified>
</cp:coreProperties>
</file>